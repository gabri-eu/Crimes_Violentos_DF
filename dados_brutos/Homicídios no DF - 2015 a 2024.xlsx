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micídi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<sst xmlns="http://schemas.openxmlformats.org/spreadsheetml/2006/main" count="109" uniqueCount="53">
  <si>
    <t xml:space="preserve">Tabela 1 </t>
  </si>
  <si>
    <t xml:space="preserve">HOMICÍDIO</t>
  </si>
  <si>
    <t xml:space="preserve">Variação (%)</t>
  </si>
  <si>
    <t xml:space="preserve">Região Administrativa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</si>
  <si>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</si>
  <si>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</si>
  <si>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</si>
  <si>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</si>
  <si>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</si>
  <si>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</si>
  <si>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</si>
  <si>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</si>
  <si>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</si>
  <si>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</si>
  <si>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2015 a 2024</t>
  </si>
  <si>
    <t xml:space="preserve">2023 a 2024</t>
  </si>
  <si>
    <t xml:space="preserve">Distrito Federal</t>
  </si>
  <si>
    <t xml:space="preserve">Águas Claras</t>
  </si>
  <si>
    <t xml:space="preserve">*</t>
  </si>
  <si>
    <t xml:space="preserve">Arniqueira</t>
  </si>
  <si>
    <t xml:space="preserve">-</t>
  </si>
  <si>
    <t xml:space="preserve">Brasília (Plano Piloto)</t>
  </si>
  <si>
    <t xml:space="preserve">Brazlândia</t>
  </si>
  <si>
    <t xml:space="preserve">Candangolândia</t>
  </si>
  <si>
    <t xml:space="preserve">Ceilândia</t>
  </si>
  <si>
    <t xml:space="preserve">Cruzeiro</t>
  </si>
  <si>
    <t xml:space="preserve">Fercal</t>
  </si>
  <si>
    <t xml:space="preserve">Gama</t>
  </si>
  <si>
    <t xml:space="preserve">Guará</t>
  </si>
  <si>
    <t xml:space="preserve">Itapoã</t>
  </si>
  <si>
    <t xml:space="preserve">Jardim Botânico</t>
  </si>
  <si>
    <t xml:space="preserve">Lago Norte</t>
  </si>
  <si>
    <t xml:space="preserve">Lago Sul</t>
  </si>
  <si>
    <t xml:space="preserve">Núcleo Bandeirante</t>
  </si>
  <si>
    <t xml:space="preserve">Paranoá</t>
  </si>
  <si>
    <t xml:space="preserve">Park Way</t>
  </si>
  <si>
    <t xml:space="preserve">Planaltina</t>
  </si>
  <si>
    <t xml:space="preserve">Recanto das Emas</t>
  </si>
  <si>
    <t xml:space="preserve">Riacho Fundo</t>
  </si>
  <si>
    <t xml:space="preserve">Riacho Fundo II</t>
  </si>
  <si>
    <t xml:space="preserve">Samambaia</t>
  </si>
  <si>
    <t xml:space="preserve">Santa Maria</t>
  </si>
  <si>
    <t xml:space="preserve">São Sebastião</t>
  </si>
  <si>
    <t xml:space="preserve">SCIA/Estrutural</t>
  </si>
  <si>
    <t xml:space="preserve">SIA</t>
  </si>
  <si>
    <t xml:space="preserve">Sobradinho</t>
  </si>
  <si>
    <t xml:space="preserve">Sobradinho II</t>
  </si>
  <si>
    <t xml:space="preserve">Sol Nascente/Pôr do Sol</t>
  </si>
  <si>
    <t xml:space="preserve">Sudoeste/Octogonal</t>
  </si>
  <si>
    <t xml:space="preserve">Taguatinga</t>
  </si>
  <si>
    <t xml:space="preserve">Varjão</t>
  </si>
  <si>
    <t xml:space="preserve">Vicente Pires</t>
  </si>
  <si>
    <t xml:space="preserve">Unidades Prisionais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</si>
</sst>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%"/>
  </numFmts>
  <fonts count="13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sz val="10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sz val="11"/>
      <name val="Aptos Narrow"/>
      <family val="2"/>
      <charset val="1"/>
    </font>
    <font>
      <sz val="10"/>
      <name val="Aptos Narrow"/>
      <family val="2"/>
      <charset val="1"/>
    </font>
    <font>
      <sz val="14"/>
      <color rgb="FF595959"/>
      <name val="Aptos Narrow"/>
      <family val="2"/>
    </font>
    <font>
      <sz val="9"/>
      <color rgb="FF595959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4E95D9"/>
        <bgColor rgb="FF3366FF"/>
      </patternFill>
    </fill>
    <fill>
      <patternFill patternType="solid">
        <fgColor rgb="FFFFFFFF"/>
        <bgColor rgb="FFFFFFCC"/>
      </patternFill>
    </fill>
    <fill>
      <patternFill patternType="solid">
        <fgColor rgb="FFD1D1D1"/>
        <bgColor rgb="FFD9D9D9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thin"/>
      <top style="hair"/>
      <bottom style="double"/>
      <diagonal/>
    </border>
    <border diagonalUp="false" diagonalDown="false">
      <left style="medium"/>
      <right style="thin"/>
      <top style="medium"/>
      <bottom style="hair"/>
      <diagonal/>
    </border>
    <border diagonalUp="false" diagonalDown="false">
      <left/>
      <right style="thin"/>
      <top/>
      <bottom style="hair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medium"/>
      <right style="thin"/>
      <top style="hair"/>
      <bottom style="thin"/>
      <diagonal/>
    </border>
    <border diagonalUp="false" diagonalDown="false">
      <left style="thin"/>
      <right style="thin"/>
      <top style="hair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2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8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4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ED973"/>
      <rgbColor rgb="FFFFCC00"/>
      <rgbColor rgb="FFFF9900"/>
      <rgbColor rgb="FFFF6600"/>
      <rgbColor rgb="FF59595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Chart Title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gapWidth val="219"/>
        <c:overlap val="-27"/>
        <c:axId val="40007058"/>
        <c:axId val="19870457"/>
      </c:barChart>
      <c:catAx>
        <c:axId val="40007058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9870457"/>
        <c:crosses val="autoZero"/>
        <c:auto val="1"/>
        <c:lblAlgn val="ctr"/>
        <c:lblOffset val="100"/>
        <c:noMultiLvlLbl val="0"/>
      </c:catAx>
      <c:valAx>
        <c:axId val="1987045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000705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631080</xdr:colOff>
      <xdr:row>76</xdr:row>
      <xdr:rowOff>720</xdr:rowOff>
    </xdr:from>
    <xdr:to>
      <xdr:col>8</xdr:col>
      <xdr:colOff>317520</xdr:colOff>
      <xdr:row>76</xdr:row>
      <xdr:rowOff>1080</xdr:rowOff>
    </xdr:to>
    <xdr:graphicFrame>
      <xdr:nvGraphicFramePr>
        <xdr:cNvPr id="0" name="Gráfico 2"/>
        <xdr:cNvGraphicFramePr/>
      </xdr:nvGraphicFramePr>
      <xdr:xfrm>
        <a:off x="631080" y="14228280"/>
        <a:ext cx="6593760" cy="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8ED973"/>
    <pageSetUpPr fitToPage="false"/>
  </sheetPr>
  <dimension ref="B2:S170"/>
  <sheetViews>
    <sheetView showFormulas="false" showGridLines="false" showRowColHeaders="true" showZeros="true" rightToLeft="false" tabSelected="true" showOutlineSymbols="true" defaultGridColor="true" view="normal" topLeftCell="A98" colorId="64" zoomScale="100" zoomScaleNormal="100" zoomScalePageLayoutView="100" workbookViewId="0">
      <selection pane="topLeft" activeCell="B122" activeCellId="0" sqref="B122"/>
    </sheetView>
  </sheetViews>
  <sheetFormatPr defaultColWidth="8.5390625" defaultRowHeight="14.6" zeroHeight="false" outlineLevelRow="0" outlineLevelCol="0"/>
  <cols>
    <col collapsed="false" customWidth="true" hidden="false" outlineLevel="0" max="2" min="2" style="0" width="23"/>
    <col collapsed="false" customWidth="true" hidden="false" outlineLevel="0" max="12" min="3" style="1" width="7.69"/>
    <col collapsed="false" customWidth="true" hidden="false" outlineLevel="0" max="14" min="13" style="1" width="7.84"/>
  </cols>
  <sheetData>
    <row r="2" customFormat="false" ht="14.6" hidden="false" customHeight="false" outlineLevel="0" collapsed="false">
      <c r="B2" s="2" t="s">
        <v>0</v>
      </c>
    </row>
    <row r="4" customFormat="false" ht="14.6" hidden="false" customHeight="false" outlineLevel="0" collapsed="false">
      <c r="B4" s="3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4" t="s">
        <v>2</v>
      </c>
      <c r="N4" s="4"/>
    </row>
    <row r="5" customFormat="false" ht="25.3" hidden="false" customHeight="false" outlineLevel="0" collapsed="false">
      <c r="B5" s="5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7" t="s">
        <v>14</v>
      </c>
      <c r="N5" s="7" t="s">
        <v>15</v>
      </c>
    </row>
    <row r="6" customFormat="false" ht="15" hidden="false" customHeight="false" outlineLevel="0" collapsed="false">
      <c r="B6" s="8" t="s">
        <v>16</v>
      </c>
      <c r="C6" s="9" t="n">
        <f aca="false">SUM(C7:C40)</f>
        <v>619</v>
      </c>
      <c r="D6" s="9" t="n">
        <f aca="false">SUM(D7:D40)</f>
        <v>582</v>
      </c>
      <c r="E6" s="9" t="n">
        <f aca="false">SUM(E7:E40)</f>
        <v>493</v>
      </c>
      <c r="F6" s="9" t="n">
        <f aca="false">SUM(F7:F40)</f>
        <v>434</v>
      </c>
      <c r="G6" s="9" t="n">
        <f aca="false">SUM(G7:G40)</f>
        <v>386</v>
      </c>
      <c r="H6" s="9" t="n">
        <f aca="false">SUM(H7:H40)</f>
        <v>357</v>
      </c>
      <c r="I6" s="9" t="n">
        <f aca="false">SUM(I7:I40)</f>
        <v>287</v>
      </c>
      <c r="J6" s="9" t="n">
        <f aca="false">SUM(J7:J40)</f>
        <v>261</v>
      </c>
      <c r="K6" s="9" t="n">
        <f aca="false">SUM(K7:K40)</f>
        <v>234</v>
      </c>
      <c r="L6" s="9" t="n">
        <f aca="false">SUM(L7:L40)</f>
        <v>207</v>
      </c>
      <c r="M6" s="10" t="n">
        <f aca="false">IFERROR((L6/C6)-1,"")</f>
        <v>-0.665589660743134</v>
      </c>
      <c r="N6" s="10" t="n">
        <f aca="false">IFERROR((L6/K6)-1,"")</f>
        <v>-0.115384615384615</v>
      </c>
      <c r="S6" s="11"/>
    </row>
    <row r="7" customFormat="false" ht="15" hidden="false" customHeight="false" outlineLevel="0" collapsed="false">
      <c r="B7" s="12" t="s">
        <v>17</v>
      </c>
      <c r="C7" s="13" t="n">
        <v>11</v>
      </c>
      <c r="D7" s="14" t="n">
        <v>3</v>
      </c>
      <c r="E7" s="14" t="n">
        <v>6</v>
      </c>
      <c r="F7" s="14" t="n">
        <v>6</v>
      </c>
      <c r="G7" s="14" t="n">
        <v>8</v>
      </c>
      <c r="H7" s="14" t="n">
        <v>3</v>
      </c>
      <c r="I7" s="14" t="n">
        <v>4</v>
      </c>
      <c r="J7" s="14" t="n">
        <v>0</v>
      </c>
      <c r="K7" s="14" t="n">
        <v>1</v>
      </c>
      <c r="L7" s="14" t="n">
        <v>1</v>
      </c>
      <c r="M7" s="15" t="n">
        <f aca="false">IFERROR((L7/C7)-1,"")</f>
        <v>-0.909090909090909</v>
      </c>
      <c r="N7" s="15" t="s">
        <v>18</v>
      </c>
      <c r="S7" s="11"/>
    </row>
    <row r="8" customFormat="false" ht="14.6" hidden="false" customHeight="false" outlineLevel="0" collapsed="false">
      <c r="B8" s="16" t="s">
        <v>19</v>
      </c>
      <c r="C8" s="17" t="s">
        <v>20</v>
      </c>
      <c r="D8" s="17" t="s">
        <v>20</v>
      </c>
      <c r="E8" s="17" t="s">
        <v>20</v>
      </c>
      <c r="F8" s="17" t="s">
        <v>20</v>
      </c>
      <c r="G8" s="17" t="s">
        <v>20</v>
      </c>
      <c r="H8" s="18" t="n">
        <v>6</v>
      </c>
      <c r="I8" s="18" t="n">
        <v>4</v>
      </c>
      <c r="J8" s="18" t="n">
        <v>4</v>
      </c>
      <c r="K8" s="18" t="n">
        <v>4</v>
      </c>
      <c r="L8" s="18" t="n">
        <v>0</v>
      </c>
      <c r="M8" s="15" t="s">
        <v>18</v>
      </c>
      <c r="N8" s="19" t="s">
        <v>18</v>
      </c>
      <c r="S8" s="11"/>
    </row>
    <row r="9" customFormat="false" ht="14.6" hidden="false" customHeight="false" outlineLevel="0" collapsed="false">
      <c r="B9" s="16" t="s">
        <v>21</v>
      </c>
      <c r="C9" s="20" t="n">
        <v>23</v>
      </c>
      <c r="D9" s="18" t="n">
        <v>14</v>
      </c>
      <c r="E9" s="18" t="n">
        <v>16</v>
      </c>
      <c r="F9" s="18" t="n">
        <v>19</v>
      </c>
      <c r="G9" s="18" t="n">
        <v>15</v>
      </c>
      <c r="H9" s="18" t="n">
        <v>9</v>
      </c>
      <c r="I9" s="18" t="n">
        <v>7</v>
      </c>
      <c r="J9" s="18" t="n">
        <v>7</v>
      </c>
      <c r="K9" s="18" t="n">
        <v>6</v>
      </c>
      <c r="L9" s="18" t="n">
        <v>8</v>
      </c>
      <c r="M9" s="19" t="n">
        <f aca="false">IFERROR((L9/C9)-1,"")</f>
        <v>-0.652173913043478</v>
      </c>
      <c r="N9" s="19" t="s">
        <v>18</v>
      </c>
      <c r="S9" s="11"/>
    </row>
    <row r="10" customFormat="false" ht="14.6" hidden="false" customHeight="false" outlineLevel="0" collapsed="false">
      <c r="B10" s="16" t="s">
        <v>22</v>
      </c>
      <c r="C10" s="20" t="n">
        <v>21</v>
      </c>
      <c r="D10" s="18" t="n">
        <v>19</v>
      </c>
      <c r="E10" s="18" t="n">
        <v>11</v>
      </c>
      <c r="F10" s="18" t="n">
        <v>21</v>
      </c>
      <c r="G10" s="18" t="n">
        <v>2</v>
      </c>
      <c r="H10" s="18" t="n">
        <v>5</v>
      </c>
      <c r="I10" s="18" t="n">
        <v>9</v>
      </c>
      <c r="J10" s="18" t="n">
        <v>7</v>
      </c>
      <c r="K10" s="18" t="n">
        <v>5</v>
      </c>
      <c r="L10" s="18" t="n">
        <v>5</v>
      </c>
      <c r="M10" s="19" t="n">
        <f aca="false">IFERROR((L10/C10)-1,"")</f>
        <v>-0.761904761904762</v>
      </c>
      <c r="N10" s="19" t="s">
        <v>18</v>
      </c>
      <c r="S10" s="11"/>
    </row>
    <row r="11" customFormat="false" ht="14.6" hidden="false" customHeight="false" outlineLevel="0" collapsed="false">
      <c r="B11" s="16" t="s">
        <v>23</v>
      </c>
      <c r="C11" s="20" t="n">
        <v>6</v>
      </c>
      <c r="D11" s="18" t="n">
        <v>2</v>
      </c>
      <c r="E11" s="18" t="n">
        <v>5</v>
      </c>
      <c r="F11" s="18" t="n">
        <v>0</v>
      </c>
      <c r="G11" s="18" t="n">
        <v>0</v>
      </c>
      <c r="H11" s="18" t="n">
        <v>2</v>
      </c>
      <c r="I11" s="18" t="n">
        <v>1</v>
      </c>
      <c r="J11" s="18" t="n">
        <v>3</v>
      </c>
      <c r="K11" s="18" t="n">
        <v>1</v>
      </c>
      <c r="L11" s="18" t="n">
        <v>0</v>
      </c>
      <c r="M11" s="19" t="s">
        <v>18</v>
      </c>
      <c r="N11" s="19" t="s">
        <v>18</v>
      </c>
      <c r="S11" s="11"/>
    </row>
    <row r="12" customFormat="false" ht="14.6" hidden="false" customHeight="false" outlineLevel="0" collapsed="false">
      <c r="B12" s="16" t="s">
        <v>24</v>
      </c>
      <c r="C12" s="20" t="n">
        <v>112</v>
      </c>
      <c r="D12" s="18" t="n">
        <v>90</v>
      </c>
      <c r="E12" s="18" t="n">
        <v>77</v>
      </c>
      <c r="F12" s="18" t="n">
        <v>83</v>
      </c>
      <c r="G12" s="18" t="n">
        <v>77</v>
      </c>
      <c r="H12" s="18" t="n">
        <v>46</v>
      </c>
      <c r="I12" s="18" t="n">
        <v>42</v>
      </c>
      <c r="J12" s="18" t="n">
        <v>31</v>
      </c>
      <c r="K12" s="18" t="n">
        <v>41</v>
      </c>
      <c r="L12" s="18" t="n">
        <v>33</v>
      </c>
      <c r="M12" s="19" t="n">
        <f aca="false">IFERROR((L12/C12)-1,"")</f>
        <v>-0.705357142857143</v>
      </c>
      <c r="N12" s="19" t="n">
        <f aca="false">IFERROR((L12/K12)-1,"")</f>
        <v>-0.195121951219512</v>
      </c>
      <c r="S12" s="11"/>
    </row>
    <row r="13" customFormat="false" ht="14.6" hidden="false" customHeight="false" outlineLevel="0" collapsed="false">
      <c r="B13" s="16" t="s">
        <v>25</v>
      </c>
      <c r="C13" s="20" t="n">
        <v>2</v>
      </c>
      <c r="D13" s="18" t="n">
        <v>0</v>
      </c>
      <c r="E13" s="18" t="n">
        <v>0</v>
      </c>
      <c r="F13" s="18" t="n">
        <v>0</v>
      </c>
      <c r="G13" s="18" t="n">
        <v>2</v>
      </c>
      <c r="H13" s="18" t="n">
        <v>0</v>
      </c>
      <c r="I13" s="18" t="n">
        <v>1</v>
      </c>
      <c r="J13" s="18" t="n">
        <v>1</v>
      </c>
      <c r="K13" s="18" t="n">
        <v>0</v>
      </c>
      <c r="L13" s="18" t="n">
        <v>0</v>
      </c>
      <c r="M13" s="19" t="s">
        <v>18</v>
      </c>
      <c r="N13" s="19" t="s">
        <v>18</v>
      </c>
      <c r="S13" s="11"/>
    </row>
    <row r="14" customFormat="false" ht="14.6" hidden="false" customHeight="false" outlineLevel="0" collapsed="false">
      <c r="B14" s="16" t="s">
        <v>26</v>
      </c>
      <c r="C14" s="20" t="n">
        <v>3</v>
      </c>
      <c r="D14" s="18" t="n">
        <v>5</v>
      </c>
      <c r="E14" s="18" t="n">
        <v>7</v>
      </c>
      <c r="F14" s="18" t="n">
        <v>5</v>
      </c>
      <c r="G14" s="18" t="n">
        <v>5</v>
      </c>
      <c r="H14" s="18" t="n">
        <v>4</v>
      </c>
      <c r="I14" s="18" t="n">
        <v>3</v>
      </c>
      <c r="J14" s="18" t="n">
        <v>4</v>
      </c>
      <c r="K14" s="18" t="n">
        <v>2</v>
      </c>
      <c r="L14" s="18" t="n">
        <v>3</v>
      </c>
      <c r="M14" s="19" t="s">
        <v>18</v>
      </c>
      <c r="N14" s="19" t="s">
        <v>18</v>
      </c>
      <c r="S14" s="11"/>
    </row>
    <row r="15" customFormat="false" ht="14.6" hidden="false" customHeight="false" outlineLevel="0" collapsed="false">
      <c r="B15" s="16" t="s">
        <v>27</v>
      </c>
      <c r="C15" s="20" t="n">
        <v>38</v>
      </c>
      <c r="D15" s="18" t="n">
        <v>40</v>
      </c>
      <c r="E15" s="18" t="n">
        <v>38</v>
      </c>
      <c r="F15" s="18" t="n">
        <v>25</v>
      </c>
      <c r="G15" s="18" t="n">
        <v>17</v>
      </c>
      <c r="H15" s="18" t="n">
        <v>16</v>
      </c>
      <c r="I15" s="18" t="n">
        <v>12</v>
      </c>
      <c r="J15" s="18" t="n">
        <v>6</v>
      </c>
      <c r="K15" s="21" t="n">
        <v>8</v>
      </c>
      <c r="L15" s="21" t="n">
        <v>8</v>
      </c>
      <c r="M15" s="19" t="n">
        <f aca="false">IFERROR((L15/C15)-1,"")</f>
        <v>-0.789473684210526</v>
      </c>
      <c r="N15" s="19" t="s">
        <v>18</v>
      </c>
      <c r="S15" s="11"/>
    </row>
    <row r="16" customFormat="false" ht="14.6" hidden="false" customHeight="false" outlineLevel="0" collapsed="false">
      <c r="B16" s="16" t="s">
        <v>28</v>
      </c>
      <c r="C16" s="20" t="n">
        <v>15</v>
      </c>
      <c r="D16" s="18" t="n">
        <v>4</v>
      </c>
      <c r="E16" s="18" t="n">
        <v>3</v>
      </c>
      <c r="F16" s="18" t="n">
        <v>5</v>
      </c>
      <c r="G16" s="18" t="n">
        <v>1</v>
      </c>
      <c r="H16" s="18" t="n">
        <v>3</v>
      </c>
      <c r="I16" s="18" t="n">
        <v>9</v>
      </c>
      <c r="J16" s="18" t="n">
        <v>4</v>
      </c>
      <c r="K16" s="21" t="n">
        <v>3</v>
      </c>
      <c r="L16" s="21" t="n">
        <v>2</v>
      </c>
      <c r="M16" s="19" t="n">
        <f aca="false">IFERROR((L16/C16)-1,"")</f>
        <v>-0.866666666666667</v>
      </c>
      <c r="N16" s="19" t="s">
        <v>18</v>
      </c>
      <c r="S16" s="11"/>
    </row>
    <row r="17" customFormat="false" ht="14.6" hidden="false" customHeight="false" outlineLevel="0" collapsed="false">
      <c r="B17" s="16" t="s">
        <v>29</v>
      </c>
      <c r="C17" s="20" t="n">
        <v>30</v>
      </c>
      <c r="D17" s="18" t="n">
        <v>22</v>
      </c>
      <c r="E17" s="18" t="n">
        <v>21</v>
      </c>
      <c r="F17" s="18" t="n">
        <v>19</v>
      </c>
      <c r="G17" s="18" t="n">
        <v>24</v>
      </c>
      <c r="H17" s="18" t="n">
        <v>15</v>
      </c>
      <c r="I17" s="18" t="n">
        <v>12</v>
      </c>
      <c r="J17" s="18" t="n">
        <v>10</v>
      </c>
      <c r="K17" s="21" t="n">
        <v>13</v>
      </c>
      <c r="L17" s="21" t="n">
        <v>8</v>
      </c>
      <c r="M17" s="19" t="n">
        <f aca="false">IFERROR((L17/C17)-1,"")</f>
        <v>-0.733333333333333</v>
      </c>
      <c r="N17" s="19" t="n">
        <f aca="false">IFERROR((L17/K17)-1,"")</f>
        <v>-0.384615384615385</v>
      </c>
      <c r="S17" s="11"/>
    </row>
    <row r="18" customFormat="false" ht="14.6" hidden="false" customHeight="false" outlineLevel="0" collapsed="false">
      <c r="B18" s="16" t="s">
        <v>30</v>
      </c>
      <c r="C18" s="20" t="n">
        <v>0</v>
      </c>
      <c r="D18" s="18" t="n">
        <v>1</v>
      </c>
      <c r="E18" s="18" t="n">
        <v>0</v>
      </c>
      <c r="F18" s="18" t="n">
        <v>0</v>
      </c>
      <c r="G18" s="18" t="n">
        <v>0</v>
      </c>
      <c r="H18" s="18" t="n">
        <v>0</v>
      </c>
      <c r="I18" s="18" t="n">
        <v>1</v>
      </c>
      <c r="J18" s="18" t="n">
        <v>0</v>
      </c>
      <c r="K18" s="21" t="n">
        <v>0</v>
      </c>
      <c r="L18" s="21" t="n">
        <v>0</v>
      </c>
      <c r="M18" s="19" t="s">
        <v>18</v>
      </c>
      <c r="N18" s="19" t="s">
        <v>18</v>
      </c>
      <c r="S18" s="11"/>
    </row>
    <row r="19" customFormat="false" ht="14.6" hidden="false" customHeight="false" outlineLevel="0" collapsed="false">
      <c r="B19" s="16" t="s">
        <v>31</v>
      </c>
      <c r="C19" s="20" t="n">
        <v>5</v>
      </c>
      <c r="D19" s="18" t="n">
        <v>1</v>
      </c>
      <c r="E19" s="18" t="n">
        <v>1</v>
      </c>
      <c r="F19" s="18" t="n">
        <v>1</v>
      </c>
      <c r="G19" s="18" t="n">
        <v>2</v>
      </c>
      <c r="H19" s="18" t="n">
        <v>1</v>
      </c>
      <c r="I19" s="18" t="n">
        <v>2</v>
      </c>
      <c r="J19" s="18" t="n">
        <v>2</v>
      </c>
      <c r="K19" s="18" t="n">
        <v>2</v>
      </c>
      <c r="L19" s="18" t="n">
        <v>1</v>
      </c>
      <c r="M19" s="19" t="s">
        <v>18</v>
      </c>
      <c r="N19" s="19" t="s">
        <v>18</v>
      </c>
      <c r="S19" s="11"/>
    </row>
    <row r="20" customFormat="false" ht="14.6" hidden="false" customHeight="false" outlineLevel="0" collapsed="false">
      <c r="B20" s="16" t="s">
        <v>32</v>
      </c>
      <c r="C20" s="20" t="n">
        <v>0</v>
      </c>
      <c r="D20" s="18" t="n">
        <v>1</v>
      </c>
      <c r="E20" s="18" t="n">
        <v>1</v>
      </c>
      <c r="F20" s="18" t="n">
        <v>1</v>
      </c>
      <c r="G20" s="18" t="n">
        <v>0</v>
      </c>
      <c r="H20" s="18" t="n">
        <v>0</v>
      </c>
      <c r="I20" s="18" t="n">
        <v>0</v>
      </c>
      <c r="J20" s="18" t="n">
        <v>0</v>
      </c>
      <c r="K20" s="18" t="n">
        <v>0</v>
      </c>
      <c r="L20" s="18" t="n">
        <v>1</v>
      </c>
      <c r="M20" s="19" t="s">
        <v>18</v>
      </c>
      <c r="N20" s="19" t="s">
        <v>18</v>
      </c>
      <c r="S20" s="11"/>
    </row>
    <row r="21" customFormat="false" ht="14.6" hidden="false" customHeight="false" outlineLevel="0" collapsed="false">
      <c r="B21" s="16" t="s">
        <v>33</v>
      </c>
      <c r="C21" s="20" t="n">
        <v>1</v>
      </c>
      <c r="D21" s="18" t="n">
        <v>3</v>
      </c>
      <c r="E21" s="18" t="n">
        <v>1</v>
      </c>
      <c r="F21" s="18" t="n">
        <v>3</v>
      </c>
      <c r="G21" s="18" t="n">
        <v>0</v>
      </c>
      <c r="H21" s="18" t="n">
        <v>2</v>
      </c>
      <c r="I21" s="18" t="n">
        <v>2</v>
      </c>
      <c r="J21" s="18" t="n">
        <v>3</v>
      </c>
      <c r="K21" s="18" t="n">
        <v>0</v>
      </c>
      <c r="L21" s="18" t="n">
        <v>2</v>
      </c>
      <c r="M21" s="19" t="s">
        <v>18</v>
      </c>
      <c r="N21" s="19" t="s">
        <v>18</v>
      </c>
      <c r="S21" s="11"/>
    </row>
    <row r="22" customFormat="false" ht="14.6" hidden="false" customHeight="false" outlineLevel="0" collapsed="false">
      <c r="B22" s="16" t="s">
        <v>34</v>
      </c>
      <c r="C22" s="20" t="n">
        <v>24</v>
      </c>
      <c r="D22" s="18" t="n">
        <v>32</v>
      </c>
      <c r="E22" s="18" t="n">
        <v>11</v>
      </c>
      <c r="F22" s="18" t="n">
        <v>11</v>
      </c>
      <c r="G22" s="18" t="n">
        <v>14</v>
      </c>
      <c r="H22" s="18" t="n">
        <v>15</v>
      </c>
      <c r="I22" s="18" t="n">
        <v>14</v>
      </c>
      <c r="J22" s="18" t="n">
        <v>9</v>
      </c>
      <c r="K22" s="18" t="n">
        <v>11</v>
      </c>
      <c r="L22" s="18" t="n">
        <v>5</v>
      </c>
      <c r="M22" s="19" t="n">
        <f aca="false">IFERROR((L22/C22)-1,"")</f>
        <v>-0.791666666666667</v>
      </c>
      <c r="N22" s="19" t="n">
        <f aca="false">IFERROR((L22/K22)-1,"")</f>
        <v>-0.545454545454546</v>
      </c>
      <c r="S22" s="11"/>
    </row>
    <row r="23" customFormat="false" ht="14.6" hidden="false" customHeight="false" outlineLevel="0" collapsed="false">
      <c r="B23" s="16" t="s">
        <v>35</v>
      </c>
      <c r="C23" s="20" t="n">
        <v>1</v>
      </c>
      <c r="D23" s="18" t="n">
        <v>0</v>
      </c>
      <c r="E23" s="18" t="n">
        <v>0</v>
      </c>
      <c r="F23" s="18" t="n">
        <v>1</v>
      </c>
      <c r="G23" s="18" t="n">
        <v>0</v>
      </c>
      <c r="H23" s="18" t="n">
        <v>2</v>
      </c>
      <c r="I23" s="18" t="n">
        <v>0</v>
      </c>
      <c r="J23" s="18" t="n">
        <v>1</v>
      </c>
      <c r="K23" s="18" t="n">
        <v>1</v>
      </c>
      <c r="L23" s="18" t="n">
        <v>1</v>
      </c>
      <c r="M23" s="19" t="s">
        <v>18</v>
      </c>
      <c r="N23" s="19" t="s">
        <v>18</v>
      </c>
      <c r="S23" s="11"/>
    </row>
    <row r="24" customFormat="false" ht="14.6" hidden="false" customHeight="false" outlineLevel="0" collapsed="false">
      <c r="B24" s="16" t="s">
        <v>36</v>
      </c>
      <c r="C24" s="20" t="n">
        <v>57</v>
      </c>
      <c r="D24" s="18" t="n">
        <v>64</v>
      </c>
      <c r="E24" s="18" t="n">
        <v>59</v>
      </c>
      <c r="F24" s="18" t="n">
        <v>48</v>
      </c>
      <c r="G24" s="18" t="n">
        <v>39</v>
      </c>
      <c r="H24" s="18" t="n">
        <v>37</v>
      </c>
      <c r="I24" s="18" t="n">
        <v>13</v>
      </c>
      <c r="J24" s="18" t="n">
        <v>19</v>
      </c>
      <c r="K24" s="18" t="n">
        <v>19</v>
      </c>
      <c r="L24" s="18" t="n">
        <v>18</v>
      </c>
      <c r="M24" s="19" t="n">
        <f aca="false">IFERROR((L24/C24)-1,"")</f>
        <v>-0.68421052631579</v>
      </c>
      <c r="N24" s="19" t="n">
        <f aca="false">IFERROR((L24/K24)-1,"")</f>
        <v>-0.0526315789473685</v>
      </c>
      <c r="S24" s="11"/>
    </row>
    <row r="25" customFormat="false" ht="14.6" hidden="false" customHeight="false" outlineLevel="0" collapsed="false">
      <c r="B25" s="16" t="s">
        <v>37</v>
      </c>
      <c r="C25" s="20" t="n">
        <v>39</v>
      </c>
      <c r="D25" s="18" t="n">
        <v>48</v>
      </c>
      <c r="E25" s="18" t="n">
        <v>19</v>
      </c>
      <c r="F25" s="18" t="n">
        <v>21</v>
      </c>
      <c r="G25" s="18" t="n">
        <v>17</v>
      </c>
      <c r="H25" s="18" t="n">
        <v>23</v>
      </c>
      <c r="I25" s="18" t="n">
        <v>11</v>
      </c>
      <c r="J25" s="18" t="n">
        <v>23</v>
      </c>
      <c r="K25" s="18" t="n">
        <v>6</v>
      </c>
      <c r="L25" s="18" t="n">
        <v>12</v>
      </c>
      <c r="M25" s="19" t="n">
        <f aca="false">IFERROR((L25/C25)-1,"")</f>
        <v>-0.692307692307692</v>
      </c>
      <c r="N25" s="19" t="n">
        <f aca="false">IFERROR((L25/K25)-1,"")</f>
        <v>1</v>
      </c>
      <c r="S25" s="11"/>
    </row>
    <row r="26" customFormat="false" ht="14.6" hidden="false" customHeight="false" outlineLevel="0" collapsed="false">
      <c r="B26" s="16" t="s">
        <v>38</v>
      </c>
      <c r="C26" s="20" t="n">
        <v>5</v>
      </c>
      <c r="D26" s="18" t="n">
        <v>3</v>
      </c>
      <c r="E26" s="18" t="n">
        <v>5</v>
      </c>
      <c r="F26" s="18" t="n">
        <v>3</v>
      </c>
      <c r="G26" s="18" t="n">
        <v>3</v>
      </c>
      <c r="H26" s="18" t="n">
        <v>2</v>
      </c>
      <c r="I26" s="18" t="n">
        <v>2</v>
      </c>
      <c r="J26" s="18" t="n">
        <v>3</v>
      </c>
      <c r="K26" s="18" t="n">
        <v>0</v>
      </c>
      <c r="L26" s="18" t="n">
        <v>0</v>
      </c>
      <c r="M26" s="19" t="s">
        <v>18</v>
      </c>
      <c r="N26" s="19" t="s">
        <v>18</v>
      </c>
      <c r="S26" s="11"/>
    </row>
    <row r="27" customFormat="false" ht="14.6" hidden="false" customHeight="false" outlineLevel="0" collapsed="false">
      <c r="B27" s="16" t="s">
        <v>39</v>
      </c>
      <c r="C27" s="20" t="n">
        <v>5</v>
      </c>
      <c r="D27" s="18" t="n">
        <v>12</v>
      </c>
      <c r="E27" s="18" t="n">
        <v>7</v>
      </c>
      <c r="F27" s="18" t="n">
        <v>7</v>
      </c>
      <c r="G27" s="18" t="n">
        <v>8</v>
      </c>
      <c r="H27" s="18" t="n">
        <v>7</v>
      </c>
      <c r="I27" s="18" t="n">
        <v>10</v>
      </c>
      <c r="J27" s="18" t="n">
        <v>4</v>
      </c>
      <c r="K27" s="18" t="n">
        <v>0</v>
      </c>
      <c r="L27" s="18" t="n">
        <v>7</v>
      </c>
      <c r="M27" s="19" t="s">
        <v>18</v>
      </c>
      <c r="N27" s="19" t="s">
        <v>18</v>
      </c>
      <c r="S27" s="11"/>
    </row>
    <row r="28" customFormat="false" ht="14.6" hidden="false" customHeight="false" outlineLevel="0" collapsed="false">
      <c r="B28" s="16" t="s">
        <v>40</v>
      </c>
      <c r="C28" s="20" t="n">
        <v>39</v>
      </c>
      <c r="D28" s="18" t="n">
        <v>45</v>
      </c>
      <c r="E28" s="18" t="n">
        <v>48</v>
      </c>
      <c r="F28" s="18" t="n">
        <v>31</v>
      </c>
      <c r="G28" s="18" t="n">
        <v>43</v>
      </c>
      <c r="H28" s="18" t="n">
        <v>40</v>
      </c>
      <c r="I28" s="18" t="n">
        <v>16</v>
      </c>
      <c r="J28" s="18" t="n">
        <v>18</v>
      </c>
      <c r="K28" s="18" t="n">
        <v>22</v>
      </c>
      <c r="L28" s="18" t="n">
        <v>12</v>
      </c>
      <c r="M28" s="19" t="n">
        <f aca="false">IFERROR((L28/C28)-1,"")</f>
        <v>-0.692307692307692</v>
      </c>
      <c r="N28" s="19" t="n">
        <f aca="false">IFERROR((L28/K28)-1,"")</f>
        <v>-0.454545454545455</v>
      </c>
      <c r="S28" s="11"/>
    </row>
    <row r="29" customFormat="false" ht="14.6" hidden="false" customHeight="false" outlineLevel="0" collapsed="false">
      <c r="B29" s="16" t="s">
        <v>41</v>
      </c>
      <c r="C29" s="20" t="n">
        <v>53</v>
      </c>
      <c r="D29" s="18" t="n">
        <v>35</v>
      </c>
      <c r="E29" s="18" t="n">
        <v>36</v>
      </c>
      <c r="F29" s="18" t="n">
        <v>18</v>
      </c>
      <c r="G29" s="18" t="n">
        <v>18</v>
      </c>
      <c r="H29" s="18" t="n">
        <v>18</v>
      </c>
      <c r="I29" s="18" t="n">
        <v>17</v>
      </c>
      <c r="J29" s="18" t="n">
        <v>15</v>
      </c>
      <c r="K29" s="18" t="n">
        <v>15</v>
      </c>
      <c r="L29" s="18" t="n">
        <v>12</v>
      </c>
      <c r="M29" s="19" t="n">
        <f aca="false">IFERROR((L29/C29)-1,"")</f>
        <v>-0.773584905660377</v>
      </c>
      <c r="N29" s="19" t="n">
        <f aca="false">IFERROR((L29/K29)-1,"")</f>
        <v>-0.2</v>
      </c>
      <c r="S29" s="11"/>
    </row>
    <row r="30" customFormat="false" ht="14.6" hidden="false" customHeight="false" outlineLevel="0" collapsed="false">
      <c r="B30" s="16" t="s">
        <v>42</v>
      </c>
      <c r="C30" s="20" t="n">
        <v>26</v>
      </c>
      <c r="D30" s="18" t="n">
        <v>40</v>
      </c>
      <c r="E30" s="18" t="n">
        <v>30</v>
      </c>
      <c r="F30" s="18" t="n">
        <v>29</v>
      </c>
      <c r="G30" s="18" t="n">
        <v>26</v>
      </c>
      <c r="H30" s="18" t="n">
        <v>17</v>
      </c>
      <c r="I30" s="18" t="n">
        <v>20</v>
      </c>
      <c r="J30" s="18" t="n">
        <v>22</v>
      </c>
      <c r="K30" s="18" t="n">
        <v>15</v>
      </c>
      <c r="L30" s="18" t="n">
        <v>8</v>
      </c>
      <c r="M30" s="19" t="n">
        <f aca="false">IFERROR((L30/C30)-1,"")</f>
        <v>-0.692307692307692</v>
      </c>
      <c r="N30" s="19" t="n">
        <f aca="false">IFERROR((L30/K30)-1,"")</f>
        <v>-0.466666666666667</v>
      </c>
      <c r="S30" s="11"/>
    </row>
    <row r="31" customFormat="false" ht="14.6" hidden="false" customHeight="false" outlineLevel="0" collapsed="false">
      <c r="B31" s="16" t="s">
        <v>43</v>
      </c>
      <c r="C31" s="20" t="n">
        <v>24</v>
      </c>
      <c r="D31" s="18" t="n">
        <v>19</v>
      </c>
      <c r="E31" s="18" t="n">
        <v>19</v>
      </c>
      <c r="F31" s="18" t="n">
        <v>20</v>
      </c>
      <c r="G31" s="18" t="n">
        <v>19</v>
      </c>
      <c r="H31" s="18" t="n">
        <v>12</v>
      </c>
      <c r="I31" s="18" t="n">
        <v>19</v>
      </c>
      <c r="J31" s="18" t="n">
        <v>12</v>
      </c>
      <c r="K31" s="18" t="n">
        <v>14</v>
      </c>
      <c r="L31" s="18" t="n">
        <v>9</v>
      </c>
      <c r="M31" s="19" t="n">
        <f aca="false">IFERROR((L31/C31)-1,"")</f>
        <v>-0.625</v>
      </c>
      <c r="N31" s="19" t="n">
        <f aca="false">IFERROR((L31/K31)-1,"")</f>
        <v>-0.357142857142857</v>
      </c>
      <c r="S31" s="11"/>
    </row>
    <row r="32" customFormat="false" ht="14.6" hidden="false" customHeight="false" outlineLevel="0" collapsed="false">
      <c r="B32" s="16" t="s">
        <v>44</v>
      </c>
      <c r="C32" s="20" t="n">
        <v>1</v>
      </c>
      <c r="D32" s="18" t="n">
        <v>3</v>
      </c>
      <c r="E32" s="18" t="n">
        <v>4</v>
      </c>
      <c r="F32" s="18" t="n">
        <v>4</v>
      </c>
      <c r="G32" s="18" t="n">
        <v>3</v>
      </c>
      <c r="H32" s="18" t="n">
        <v>2</v>
      </c>
      <c r="I32" s="18" t="n">
        <v>1</v>
      </c>
      <c r="J32" s="18" t="n">
        <v>1</v>
      </c>
      <c r="K32" s="18" t="n">
        <v>1</v>
      </c>
      <c r="L32" s="18" t="n">
        <v>4</v>
      </c>
      <c r="M32" s="19" t="s">
        <v>18</v>
      </c>
      <c r="N32" s="19" t="s">
        <v>18</v>
      </c>
      <c r="S32" s="11"/>
    </row>
    <row r="33" customFormat="false" ht="14.6" hidden="false" customHeight="false" outlineLevel="0" collapsed="false">
      <c r="B33" s="16" t="s">
        <v>45</v>
      </c>
      <c r="C33" s="20" t="n">
        <v>20</v>
      </c>
      <c r="D33" s="18" t="n">
        <v>15</v>
      </c>
      <c r="E33" s="18" t="n">
        <v>15</v>
      </c>
      <c r="F33" s="18" t="n">
        <v>12</v>
      </c>
      <c r="G33" s="18" t="n">
        <v>15</v>
      </c>
      <c r="H33" s="18" t="n">
        <v>6</v>
      </c>
      <c r="I33" s="18" t="n">
        <v>4</v>
      </c>
      <c r="J33" s="18" t="n">
        <v>3</v>
      </c>
      <c r="K33" s="18" t="n">
        <v>4</v>
      </c>
      <c r="L33" s="18" t="n">
        <v>9</v>
      </c>
      <c r="M33" s="19" t="n">
        <f aca="false">IFERROR((L33/C33)-1,"")</f>
        <v>-0.55</v>
      </c>
      <c r="N33" s="19" t="s">
        <v>18</v>
      </c>
      <c r="S33" s="11"/>
    </row>
    <row r="34" customFormat="false" ht="14.6" hidden="false" customHeight="false" outlineLevel="0" collapsed="false">
      <c r="B34" s="16" t="s">
        <v>46</v>
      </c>
      <c r="C34" s="20" t="n">
        <v>20</v>
      </c>
      <c r="D34" s="18" t="n">
        <v>23</v>
      </c>
      <c r="E34" s="18" t="n">
        <v>24</v>
      </c>
      <c r="F34" s="18" t="n">
        <v>13</v>
      </c>
      <c r="G34" s="18" t="n">
        <v>8</v>
      </c>
      <c r="H34" s="18" t="n">
        <v>8</v>
      </c>
      <c r="I34" s="18" t="n">
        <v>6</v>
      </c>
      <c r="J34" s="18" t="n">
        <v>8</v>
      </c>
      <c r="K34" s="18" t="n">
        <v>6</v>
      </c>
      <c r="L34" s="18" t="n">
        <v>7</v>
      </c>
      <c r="M34" s="19" t="n">
        <f aca="false">IFERROR((L34/C34)-1,"")</f>
        <v>-0.65</v>
      </c>
      <c r="N34" s="19" t="s">
        <v>18</v>
      </c>
      <c r="S34" s="11"/>
    </row>
    <row r="35" customFormat="false" ht="14.6" hidden="false" customHeight="false" outlineLevel="0" collapsed="false">
      <c r="B35" s="16" t="s">
        <v>47</v>
      </c>
      <c r="C35" s="17" t="s">
        <v>20</v>
      </c>
      <c r="D35" s="17" t="s">
        <v>20</v>
      </c>
      <c r="E35" s="17" t="s">
        <v>20</v>
      </c>
      <c r="F35" s="17" t="s">
        <v>20</v>
      </c>
      <c r="G35" s="17" t="s">
        <v>20</v>
      </c>
      <c r="H35" s="18" t="n">
        <v>22</v>
      </c>
      <c r="I35" s="18" t="n">
        <v>27</v>
      </c>
      <c r="J35" s="18" t="n">
        <v>17</v>
      </c>
      <c r="K35" s="18" t="n">
        <v>12</v>
      </c>
      <c r="L35" s="18" t="n">
        <v>11</v>
      </c>
      <c r="M35" s="19" t="s">
        <v>18</v>
      </c>
      <c r="N35" s="19" t="n">
        <f aca="false">IFERROR((L35/K35)-1,"")</f>
        <v>-0.0833333333333334</v>
      </c>
      <c r="S35" s="11"/>
    </row>
    <row r="36" customFormat="false" ht="14.6" hidden="false" customHeight="false" outlineLevel="0" collapsed="false">
      <c r="B36" s="16" t="s">
        <v>48</v>
      </c>
      <c r="C36" s="20" t="n">
        <v>0</v>
      </c>
      <c r="D36" s="18" t="n">
        <v>1</v>
      </c>
      <c r="E36" s="18" t="n">
        <v>0</v>
      </c>
      <c r="F36" s="18" t="n">
        <v>0</v>
      </c>
      <c r="G36" s="18" t="n">
        <v>1</v>
      </c>
      <c r="H36" s="18" t="n">
        <v>2</v>
      </c>
      <c r="I36" s="18" t="n">
        <v>0</v>
      </c>
      <c r="J36" s="18" t="n">
        <v>2</v>
      </c>
      <c r="K36" s="18" t="n">
        <v>1</v>
      </c>
      <c r="L36" s="18" t="n">
        <v>0</v>
      </c>
      <c r="M36" s="19" t="s">
        <v>18</v>
      </c>
      <c r="N36" s="19" t="s">
        <v>18</v>
      </c>
      <c r="S36" s="11"/>
    </row>
    <row r="37" customFormat="false" ht="14.6" hidden="false" customHeight="false" outlineLevel="0" collapsed="false">
      <c r="B37" s="16" t="s">
        <v>49</v>
      </c>
      <c r="C37" s="20" t="n">
        <v>35</v>
      </c>
      <c r="D37" s="18" t="n">
        <v>27</v>
      </c>
      <c r="E37" s="18" t="n">
        <v>22</v>
      </c>
      <c r="F37" s="18" t="n">
        <v>22</v>
      </c>
      <c r="G37" s="18" t="n">
        <v>14</v>
      </c>
      <c r="H37" s="18" t="n">
        <v>20</v>
      </c>
      <c r="I37" s="18" t="n">
        <v>14</v>
      </c>
      <c r="J37" s="18" t="n">
        <v>15</v>
      </c>
      <c r="K37" s="18" t="n">
        <v>14</v>
      </c>
      <c r="L37" s="18" t="n">
        <v>10</v>
      </c>
      <c r="M37" s="19" t="n">
        <f aca="false">IFERROR((L37/C37)-1,"")</f>
        <v>-0.714285714285714</v>
      </c>
      <c r="N37" s="19" t="n">
        <f aca="false">IFERROR((L37/K37)-1,"")</f>
        <v>-0.285714285714286</v>
      </c>
      <c r="S37" s="11"/>
    </row>
    <row r="38" customFormat="false" ht="14.6" hidden="false" customHeight="false" outlineLevel="0" collapsed="false">
      <c r="B38" s="16" t="s">
        <v>50</v>
      </c>
      <c r="C38" s="20" t="n">
        <v>0</v>
      </c>
      <c r="D38" s="18" t="n">
        <v>2</v>
      </c>
      <c r="E38" s="18" t="n">
        <v>1</v>
      </c>
      <c r="F38" s="18" t="n">
        <v>1</v>
      </c>
      <c r="G38" s="18" t="n">
        <v>2</v>
      </c>
      <c r="H38" s="18" t="n">
        <v>4</v>
      </c>
      <c r="I38" s="18" t="n">
        <v>1</v>
      </c>
      <c r="J38" s="18" t="n">
        <v>2</v>
      </c>
      <c r="K38" s="18" t="n">
        <v>1</v>
      </c>
      <c r="L38" s="18" t="n">
        <v>0</v>
      </c>
      <c r="M38" s="19" t="s">
        <v>18</v>
      </c>
      <c r="N38" s="19" t="s">
        <v>18</v>
      </c>
      <c r="S38" s="11"/>
    </row>
    <row r="39" customFormat="false" ht="14.6" hidden="false" customHeight="false" outlineLevel="0" collapsed="false">
      <c r="B39" s="16" t="s">
        <v>51</v>
      </c>
      <c r="C39" s="20" t="n">
        <v>3</v>
      </c>
      <c r="D39" s="18" t="n">
        <v>8</v>
      </c>
      <c r="E39" s="18" t="n">
        <v>6</v>
      </c>
      <c r="F39" s="18" t="n">
        <v>5</v>
      </c>
      <c r="G39" s="18" t="n">
        <v>3</v>
      </c>
      <c r="H39" s="18" t="n">
        <v>8</v>
      </c>
      <c r="I39" s="18" t="n">
        <v>3</v>
      </c>
      <c r="J39" s="18" t="n">
        <v>5</v>
      </c>
      <c r="K39" s="18" t="n">
        <v>5</v>
      </c>
      <c r="L39" s="18" t="n">
        <v>5</v>
      </c>
      <c r="M39" s="19" t="s">
        <v>18</v>
      </c>
      <c r="N39" s="19" t="s">
        <v>18</v>
      </c>
      <c r="S39" s="11"/>
    </row>
    <row r="40" customFormat="false" ht="14.6" hidden="false" customHeight="false" outlineLevel="0" collapsed="false">
      <c r="B40" s="22" t="s">
        <v>52</v>
      </c>
      <c r="C40" s="23" t="s">
        <v>20</v>
      </c>
      <c r="D40" s="23" t="s">
        <v>20</v>
      </c>
      <c r="E40" s="23" t="s">
        <v>20</v>
      </c>
      <c r="F40" s="23" t="s">
        <v>20</v>
      </c>
      <c r="G40" s="23" t="s">
        <v>20</v>
      </c>
      <c r="H40" s="23" t="s">
        <v>20</v>
      </c>
      <c r="I40" s="23" t="s">
        <v>20</v>
      </c>
      <c r="J40" s="23" t="s">
        <v>20</v>
      </c>
      <c r="K40" s="23" t="n">
        <v>1</v>
      </c>
      <c r="L40" s="23" t="n">
        <v>5</v>
      </c>
      <c r="M40" s="24" t="s">
        <v>18</v>
      </c>
      <c r="N40" s="19" t="s">
        <v>18</v>
      </c>
      <c r="S40" s="11"/>
    </row>
    <row r="45" s="25" customFormat="true" ht="14.6" hidden="false" customHeight="false" outlineLevel="0" collapsed="false"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9" customFormat="false" ht="13.8" hidden="false" customHeight="false" outlineLevel="0" collapsed="false">
      <c r="B49" s="2"/>
    </row>
    <row r="51" s="27" customFormat="true" ht="14.6" hidden="false" customHeight="false" outlineLevel="0" collapsed="false"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 s="27" customFormat="true" ht="14.6" hidden="false" customHeight="false" outlineLevel="0" collapsed="false"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 s="27" customFormat="true" ht="14.6" hidden="false" customHeight="false" outlineLevel="0" collapsed="false">
      <c r="F53" s="28"/>
      <c r="G53" s="28"/>
      <c r="H53" s="28"/>
      <c r="I53" s="28"/>
      <c r="J53" s="28"/>
      <c r="K53" s="28"/>
      <c r="L53" s="28"/>
      <c r="M53" s="28"/>
      <c r="N53" s="28"/>
    </row>
    <row r="54" s="27" customFormat="true" ht="14.6" hidden="false" customHeight="false" outlineLevel="0" collapsed="false">
      <c r="B54" s="29"/>
      <c r="C54" s="30"/>
      <c r="D54" s="31"/>
      <c r="E54" s="32"/>
      <c r="F54" s="28"/>
      <c r="G54" s="28"/>
      <c r="H54" s="28"/>
      <c r="I54" s="28"/>
      <c r="J54" s="28"/>
      <c r="K54" s="28"/>
      <c r="L54" s="28"/>
      <c r="M54" s="28"/>
      <c r="N54" s="28"/>
    </row>
    <row r="55" s="27" customFormat="true" ht="14.6" hidden="false" customHeight="false" outlineLevel="0" collapsed="false">
      <c r="B55" s="29"/>
      <c r="C55" s="30"/>
      <c r="D55" s="31"/>
      <c r="E55" s="32"/>
      <c r="F55" s="28"/>
      <c r="G55" s="28"/>
      <c r="H55" s="28"/>
      <c r="I55" s="28"/>
      <c r="J55" s="28"/>
      <c r="K55" s="28"/>
      <c r="L55" s="28"/>
      <c r="M55" s="28"/>
      <c r="N55" s="28"/>
    </row>
    <row r="56" s="27" customFormat="true" ht="14.6" hidden="false" customHeight="false" outlineLevel="0" collapsed="false">
      <c r="B56" s="29"/>
      <c r="C56" s="30"/>
      <c r="D56" s="31"/>
      <c r="E56" s="32"/>
      <c r="F56" s="28"/>
      <c r="G56" s="28"/>
      <c r="H56" s="28"/>
      <c r="I56" s="28"/>
      <c r="J56" s="28"/>
      <c r="K56" s="28"/>
      <c r="L56" s="28"/>
      <c r="M56" s="28"/>
      <c r="N56" s="28"/>
    </row>
    <row r="57" s="27" customFormat="true" ht="14.6" hidden="false" customHeight="false" outlineLevel="0" collapsed="false">
      <c r="B57" s="29"/>
      <c r="C57" s="30"/>
      <c r="D57" s="31"/>
      <c r="E57" s="32"/>
      <c r="F57" s="28"/>
      <c r="G57" s="28"/>
      <c r="H57" s="28"/>
      <c r="I57" s="28"/>
      <c r="J57" s="28"/>
      <c r="K57" s="28"/>
      <c r="L57" s="28"/>
      <c r="M57" s="28"/>
      <c r="N57" s="28"/>
    </row>
    <row r="58" s="27" customFormat="true" ht="14.6" hidden="false" customHeight="false" outlineLevel="0" collapsed="false">
      <c r="B58" s="29"/>
      <c r="C58" s="30"/>
      <c r="D58" s="31"/>
      <c r="E58" s="32"/>
      <c r="F58" s="28"/>
      <c r="G58" s="28"/>
      <c r="H58" s="28"/>
      <c r="I58" s="28"/>
      <c r="J58" s="28"/>
      <c r="K58" s="28"/>
      <c r="L58" s="28"/>
      <c r="M58" s="28"/>
      <c r="N58" s="28"/>
    </row>
    <row r="59" s="27" customFormat="true" ht="14.6" hidden="false" customHeight="false" outlineLevel="0" collapsed="false">
      <c r="B59" s="29"/>
      <c r="C59" s="30"/>
      <c r="D59" s="31"/>
      <c r="E59" s="32"/>
      <c r="F59" s="28"/>
      <c r="G59" s="28"/>
      <c r="H59" s="28"/>
      <c r="I59" s="28"/>
      <c r="J59" s="28"/>
      <c r="K59" s="28"/>
      <c r="L59" s="28"/>
      <c r="M59" s="28"/>
      <c r="N59" s="28"/>
    </row>
    <row r="60" s="27" customFormat="true" ht="14.6" hidden="false" customHeight="false" outlineLevel="0" collapsed="false">
      <c r="B60" s="29"/>
      <c r="C60" s="30"/>
      <c r="D60" s="31"/>
      <c r="E60" s="32"/>
      <c r="F60" s="28"/>
      <c r="G60" s="28"/>
      <c r="H60" s="28"/>
      <c r="I60" s="28"/>
      <c r="J60" s="28"/>
      <c r="K60" s="28"/>
      <c r="L60" s="28"/>
      <c r="M60" s="28"/>
      <c r="N60" s="28"/>
    </row>
    <row r="61" s="27" customFormat="true" ht="14.6" hidden="false" customHeight="false" outlineLevel="0" collapsed="false">
      <c r="B61" s="29"/>
      <c r="C61" s="30"/>
      <c r="D61" s="31"/>
      <c r="E61" s="32"/>
      <c r="F61" s="28"/>
      <c r="G61" s="28"/>
      <c r="H61" s="28"/>
      <c r="I61" s="28"/>
      <c r="J61" s="28"/>
      <c r="K61" s="28"/>
      <c r="L61" s="28"/>
      <c r="M61" s="28"/>
      <c r="N61" s="28"/>
    </row>
    <row r="62" s="27" customFormat="true" ht="14.6" hidden="false" customHeight="false" outlineLevel="0" collapsed="false">
      <c r="B62" s="29"/>
      <c r="C62" s="30"/>
      <c r="D62" s="31"/>
      <c r="E62" s="32"/>
      <c r="F62" s="28"/>
      <c r="G62" s="28"/>
      <c r="H62" s="28"/>
      <c r="I62" s="28"/>
      <c r="J62" s="28"/>
      <c r="K62" s="28"/>
      <c r="L62" s="28"/>
      <c r="M62" s="28"/>
      <c r="N62" s="28"/>
    </row>
    <row r="63" s="27" customFormat="true" ht="14.6" hidden="false" customHeight="false" outlineLevel="0" collapsed="false">
      <c r="B63" s="29"/>
      <c r="C63" s="30"/>
      <c r="D63" s="31"/>
      <c r="E63" s="32"/>
      <c r="F63" s="28"/>
      <c r="G63" s="28"/>
      <c r="H63" s="28"/>
      <c r="I63" s="28"/>
      <c r="J63" s="28"/>
      <c r="K63" s="28"/>
      <c r="L63" s="28"/>
      <c r="M63" s="28"/>
      <c r="N63" s="28"/>
    </row>
    <row r="64" s="27" customFormat="true" ht="14.6" hidden="false" customHeight="false" outlineLevel="0" collapsed="false">
      <c r="B64" s="29"/>
      <c r="C64" s="30"/>
      <c r="D64" s="31"/>
      <c r="E64" s="32"/>
      <c r="F64" s="28"/>
      <c r="G64" s="28"/>
      <c r="H64" s="28"/>
      <c r="I64" s="28"/>
      <c r="J64" s="28"/>
      <c r="K64" s="28"/>
      <c r="L64" s="28"/>
      <c r="M64" s="28"/>
      <c r="N64" s="28"/>
    </row>
    <row r="65" s="27" customFormat="true" ht="14.6" hidden="false" customHeight="false" outlineLevel="0" collapsed="false">
      <c r="B65" s="29"/>
      <c r="C65" s="30"/>
      <c r="D65" s="31"/>
      <c r="E65" s="32"/>
      <c r="F65" s="28"/>
      <c r="G65" s="28"/>
      <c r="H65" s="28"/>
      <c r="I65" s="28"/>
      <c r="J65" s="28"/>
      <c r="K65" s="28"/>
      <c r="L65" s="28"/>
      <c r="M65" s="28"/>
      <c r="N65" s="28"/>
    </row>
    <row r="66" s="27" customFormat="true" ht="14.6" hidden="false" customHeight="false" outlineLevel="0" collapsed="false">
      <c r="B66" s="29"/>
      <c r="C66" s="30"/>
      <c r="D66" s="31"/>
      <c r="E66" s="32"/>
      <c r="F66" s="28"/>
      <c r="G66" s="28"/>
      <c r="H66" s="28"/>
      <c r="I66" s="28"/>
      <c r="J66" s="28"/>
      <c r="K66" s="28"/>
      <c r="L66" s="28"/>
      <c r="M66" s="28"/>
      <c r="N66" s="28"/>
    </row>
    <row r="67" s="27" customFormat="true" ht="14.6" hidden="false" customHeight="false" outlineLevel="0" collapsed="false">
      <c r="B67" s="29"/>
      <c r="C67" s="30"/>
      <c r="D67" s="31"/>
      <c r="E67" s="32"/>
      <c r="F67" s="28"/>
      <c r="G67" s="28"/>
      <c r="H67" s="28"/>
      <c r="I67" s="28"/>
      <c r="J67" s="28"/>
      <c r="K67" s="28"/>
      <c r="L67" s="28"/>
      <c r="M67" s="28"/>
      <c r="N67" s="28"/>
    </row>
    <row r="68" s="27" customFormat="true" ht="14.6" hidden="false" customHeight="false" outlineLevel="0" collapsed="false">
      <c r="B68" s="29"/>
      <c r="C68" s="30"/>
      <c r="D68" s="31"/>
      <c r="E68" s="32"/>
      <c r="F68" s="28"/>
      <c r="G68" s="28"/>
      <c r="H68" s="28"/>
      <c r="I68" s="28"/>
      <c r="J68" s="28"/>
      <c r="K68" s="28"/>
      <c r="L68" s="28"/>
      <c r="M68" s="28"/>
      <c r="N68" s="28"/>
    </row>
    <row r="69" s="27" customFormat="true" ht="14.6" hidden="false" customHeight="false" outlineLevel="0" collapsed="false">
      <c r="B69" s="29"/>
      <c r="C69" s="30"/>
      <c r="D69" s="31"/>
      <c r="E69" s="32"/>
      <c r="F69" s="28"/>
      <c r="G69" s="28"/>
      <c r="H69" s="28"/>
      <c r="I69" s="28"/>
      <c r="J69" s="28"/>
      <c r="K69" s="28"/>
      <c r="L69" s="28"/>
      <c r="M69" s="28"/>
      <c r="N69" s="28"/>
    </row>
    <row r="70" s="27" customFormat="true" ht="14.6" hidden="false" customHeight="false" outlineLevel="0" collapsed="false">
      <c r="B70" s="29"/>
      <c r="C70" s="30"/>
      <c r="D70" s="31"/>
      <c r="E70" s="32"/>
      <c r="F70" s="28"/>
      <c r="G70" s="28"/>
      <c r="H70" s="28"/>
      <c r="I70" s="28"/>
      <c r="J70" s="28"/>
      <c r="K70" s="28"/>
      <c r="L70" s="28"/>
      <c r="M70" s="28"/>
      <c r="N70" s="28"/>
    </row>
    <row r="71" s="27" customFormat="true" ht="14.6" hidden="false" customHeight="false" outlineLevel="0" collapsed="false">
      <c r="B71" s="29"/>
      <c r="C71" s="30"/>
      <c r="D71" s="31"/>
      <c r="E71" s="32"/>
      <c r="F71" s="28"/>
      <c r="G71" s="28"/>
      <c r="H71" s="28"/>
      <c r="I71" s="28"/>
      <c r="J71" s="28"/>
      <c r="K71" s="28"/>
      <c r="L71" s="28"/>
      <c r="M71" s="28"/>
      <c r="N71" s="28"/>
    </row>
    <row r="72" s="27" customFormat="true" ht="14.6" hidden="false" customHeight="false" outlineLevel="0" collapsed="false">
      <c r="B72" s="29"/>
      <c r="C72" s="30"/>
      <c r="D72" s="31"/>
      <c r="E72" s="32"/>
      <c r="F72" s="28"/>
      <c r="G72" s="28"/>
      <c r="H72" s="28"/>
      <c r="I72" s="28"/>
      <c r="J72" s="28"/>
      <c r="K72" s="28"/>
      <c r="L72" s="28"/>
      <c r="M72" s="28"/>
      <c r="N72" s="28"/>
    </row>
    <row r="73" s="27" customFormat="true" ht="14.6" hidden="false" customHeight="false" outlineLevel="0" collapsed="false">
      <c r="B73" s="29"/>
      <c r="C73" s="30"/>
      <c r="D73" s="31"/>
      <c r="E73" s="32"/>
      <c r="F73" s="28"/>
      <c r="G73" s="28"/>
      <c r="H73" s="28"/>
      <c r="I73" s="28"/>
      <c r="J73" s="28"/>
      <c r="K73" s="28"/>
      <c r="L73" s="28"/>
      <c r="M73" s="28"/>
      <c r="N73" s="28"/>
    </row>
    <row r="74" s="27" customFormat="true" ht="14.6" hidden="false" customHeight="false" outlineLevel="0" collapsed="false">
      <c r="B74" s="29"/>
      <c r="C74" s="30"/>
      <c r="D74" s="31"/>
      <c r="E74" s="32"/>
      <c r="F74" s="28"/>
      <c r="G74" s="28"/>
      <c r="H74" s="28"/>
      <c r="I74" s="28"/>
      <c r="J74" s="28"/>
      <c r="K74" s="28"/>
      <c r="L74" s="28"/>
      <c r="M74" s="28"/>
      <c r="N74" s="28"/>
    </row>
    <row r="75" s="27" customFormat="true" ht="14.6" hidden="false" customHeight="false" outlineLevel="0" collapsed="false">
      <c r="B75" s="29"/>
      <c r="C75" s="30"/>
      <c r="D75" s="31"/>
      <c r="E75" s="32"/>
      <c r="F75" s="28"/>
      <c r="G75" s="28"/>
      <c r="H75" s="28"/>
      <c r="I75" s="28"/>
      <c r="J75" s="28"/>
      <c r="K75" s="28"/>
      <c r="L75" s="28"/>
      <c r="M75" s="28"/>
      <c r="N75" s="28"/>
    </row>
    <row r="76" s="27" customFormat="true" ht="14.6" hidden="false" customHeight="false" outlineLevel="0" collapsed="false">
      <c r="B76" s="29"/>
      <c r="C76" s="30"/>
      <c r="D76" s="31"/>
      <c r="E76" s="32"/>
      <c r="F76" s="28"/>
      <c r="G76" s="28"/>
      <c r="H76" s="28"/>
      <c r="I76" s="28"/>
      <c r="J76" s="28"/>
      <c r="K76" s="28"/>
      <c r="L76" s="28"/>
      <c r="M76" s="28"/>
      <c r="N76" s="28"/>
    </row>
    <row r="77" s="27" customFormat="true" ht="14.6" hidden="false" customHeight="false" outlineLevel="0" collapsed="false">
      <c r="B77" s="33"/>
      <c r="C77" s="30"/>
      <c r="D77" s="31"/>
      <c r="E77" s="32"/>
      <c r="F77" s="28"/>
      <c r="G77" s="28"/>
      <c r="H77" s="28"/>
      <c r="I77" s="28"/>
      <c r="J77" s="28"/>
      <c r="K77" s="28"/>
      <c r="L77" s="28"/>
      <c r="M77" s="28"/>
      <c r="N77" s="28"/>
    </row>
    <row r="78" s="27" customFormat="true" ht="14.6" hidden="false" customHeight="false" outlineLevel="0" collapsed="false">
      <c r="B78" s="29"/>
      <c r="C78" s="30"/>
      <c r="D78" s="31"/>
      <c r="E78" s="32"/>
      <c r="F78" s="28"/>
      <c r="G78" s="28"/>
      <c r="H78" s="28"/>
      <c r="I78" s="28"/>
      <c r="J78" s="28"/>
      <c r="K78" s="28"/>
      <c r="L78" s="28"/>
      <c r="M78" s="28"/>
      <c r="N78" s="28"/>
    </row>
    <row r="79" s="27" customFormat="true" ht="14.6" hidden="false" customHeight="false" outlineLevel="0" collapsed="false">
      <c r="B79" s="29"/>
      <c r="C79" s="30"/>
      <c r="D79" s="31"/>
      <c r="E79" s="32"/>
      <c r="F79" s="28"/>
      <c r="G79" s="28"/>
      <c r="H79" s="28"/>
      <c r="I79" s="28"/>
      <c r="J79" s="28"/>
      <c r="K79" s="28"/>
      <c r="L79" s="28"/>
      <c r="M79" s="28"/>
      <c r="N79" s="28"/>
    </row>
    <row r="80" s="27" customFormat="true" ht="14.6" hidden="false" customHeight="false" outlineLevel="0" collapsed="false">
      <c r="B80" s="29"/>
      <c r="C80" s="30"/>
      <c r="D80" s="31"/>
      <c r="E80" s="32"/>
      <c r="F80" s="28"/>
      <c r="G80" s="28"/>
      <c r="H80" s="28"/>
      <c r="I80" s="28"/>
      <c r="J80" s="28"/>
      <c r="K80" s="28"/>
      <c r="L80" s="28"/>
      <c r="M80" s="28"/>
      <c r="N80" s="28"/>
    </row>
    <row r="81" s="27" customFormat="true" ht="14.6" hidden="false" customHeight="false" outlineLevel="0" collapsed="false">
      <c r="B81" s="29"/>
      <c r="C81" s="30"/>
      <c r="D81" s="31"/>
      <c r="E81" s="32"/>
      <c r="F81" s="28"/>
      <c r="G81" s="28"/>
      <c r="H81" s="28"/>
      <c r="I81" s="28"/>
      <c r="J81" s="28"/>
      <c r="K81" s="28"/>
      <c r="L81" s="28"/>
      <c r="M81" s="28"/>
      <c r="N81" s="28"/>
    </row>
    <row r="82" s="27" customFormat="true" ht="14.6" hidden="false" customHeight="false" outlineLevel="0" collapsed="false">
      <c r="B82" s="29"/>
      <c r="C82" s="30"/>
      <c r="D82" s="31"/>
      <c r="E82" s="32"/>
      <c r="F82" s="28"/>
      <c r="G82" s="28"/>
      <c r="H82" s="28"/>
      <c r="I82" s="28"/>
      <c r="J82" s="28"/>
      <c r="K82" s="28"/>
      <c r="L82" s="28"/>
      <c r="M82" s="28"/>
      <c r="N82" s="28"/>
    </row>
    <row r="83" s="27" customFormat="true" ht="14.6" hidden="false" customHeight="false" outlineLevel="0" collapsed="false">
      <c r="B83" s="29"/>
      <c r="C83" s="30"/>
      <c r="D83" s="31"/>
      <c r="E83" s="32"/>
      <c r="F83" s="28"/>
      <c r="G83" s="28"/>
      <c r="H83" s="28"/>
      <c r="I83" s="28"/>
      <c r="J83" s="28"/>
      <c r="K83" s="28"/>
      <c r="L83" s="28"/>
      <c r="M83" s="28"/>
      <c r="N83" s="28"/>
    </row>
    <row r="84" s="27" customFormat="true" ht="14.6" hidden="false" customHeight="false" outlineLevel="0" collapsed="false">
      <c r="B84" s="29"/>
      <c r="C84" s="30"/>
      <c r="D84" s="31"/>
      <c r="E84" s="32"/>
      <c r="F84" s="28"/>
      <c r="G84" s="28"/>
      <c r="H84" s="28"/>
      <c r="I84" s="28"/>
      <c r="J84" s="28"/>
      <c r="K84" s="28"/>
      <c r="L84" s="28"/>
      <c r="M84" s="28"/>
      <c r="N84" s="28"/>
    </row>
    <row r="85" s="27" customFormat="true" ht="14.6" hidden="false" customHeight="false" outlineLevel="0" collapsed="false">
      <c r="B85" s="29"/>
      <c r="C85" s="30"/>
      <c r="D85" s="31"/>
      <c r="E85" s="32"/>
      <c r="F85" s="28"/>
      <c r="G85" s="28"/>
      <c r="H85" s="28"/>
      <c r="I85" s="28"/>
      <c r="J85" s="28"/>
      <c r="K85" s="28"/>
      <c r="L85" s="28"/>
      <c r="M85" s="28"/>
      <c r="N85" s="28"/>
    </row>
    <row r="86" s="27" customFormat="true" ht="14.6" hidden="false" customHeight="false" outlineLevel="0" collapsed="false">
      <c r="B86" s="29"/>
      <c r="C86" s="30"/>
      <c r="D86" s="31"/>
      <c r="E86" s="32"/>
      <c r="F86" s="28"/>
      <c r="G86" s="28"/>
      <c r="H86" s="28"/>
      <c r="I86" s="28"/>
      <c r="J86" s="28"/>
      <c r="K86" s="28"/>
      <c r="L86" s="28"/>
      <c r="M86" s="28"/>
      <c r="N86" s="28"/>
    </row>
    <row r="87" s="27" customFormat="true" ht="14.6" hidden="false" customHeight="false" outlineLevel="0" collapsed="false">
      <c r="B87" s="29"/>
      <c r="C87" s="30"/>
      <c r="D87" s="31"/>
      <c r="E87" s="32"/>
      <c r="F87" s="28"/>
      <c r="G87" s="28"/>
      <c r="H87" s="28"/>
      <c r="I87" s="28"/>
      <c r="J87" s="28"/>
      <c r="K87" s="28"/>
      <c r="L87" s="28"/>
      <c r="M87" s="28"/>
      <c r="N87" s="28"/>
    </row>
    <row r="88" s="27" customFormat="true" ht="14.6" hidden="false" customHeight="false" outlineLevel="0" collapsed="false">
      <c r="B88" s="34"/>
      <c r="F88" s="28"/>
      <c r="G88" s="28"/>
      <c r="H88" s="28"/>
      <c r="I88" s="28"/>
      <c r="J88" s="28"/>
      <c r="K88" s="28"/>
      <c r="L88" s="28"/>
      <c r="M88" s="28"/>
      <c r="N88" s="28"/>
    </row>
    <row r="94" customFormat="false" ht="14.6" hidden="false" customHeight="false" outlineLevel="0" collapsed="false">
      <c r="B94" s="1"/>
    </row>
    <row r="95" customFormat="false" ht="14.6" hidden="false" customHeight="false" outlineLevel="0" collapsed="false">
      <c r="B95" s="1"/>
    </row>
    <row r="96" customFormat="false" ht="14.6" hidden="false" customHeight="false" outlineLevel="0" collapsed="false">
      <c r="B96" s="1"/>
    </row>
    <row r="97" customFormat="false" ht="14.6" hidden="false" customHeight="false" outlineLevel="0" collapsed="false">
      <c r="B97" s="1"/>
    </row>
    <row r="98" customFormat="false" ht="14.6" hidden="false" customHeight="false" outlineLevel="0" collapsed="false">
      <c r="B98" s="1"/>
    </row>
    <row r="99" customFormat="false" ht="14.6" hidden="false" customHeight="false" outlineLevel="0" collapsed="false">
      <c r="B99" s="1"/>
    </row>
    <row r="100" customFormat="false" ht="14.6" hidden="false" customHeight="false" outlineLevel="0" collapsed="false">
      <c r="B100" s="1"/>
    </row>
    <row r="101" customFormat="false" ht="14.6" hidden="false" customHeight="false" outlineLevel="0" collapsed="false">
      <c r="B101" s="1"/>
    </row>
    <row r="102" customFormat="false" ht="14.6" hidden="false" customHeight="false" outlineLevel="0" collapsed="false">
      <c r="B102" s="1"/>
    </row>
    <row r="103" customFormat="false" ht="14.6" hidden="false" customHeight="false" outlineLevel="0" collapsed="false">
      <c r="B103" s="1"/>
    </row>
    <row r="104" customFormat="false" ht="14.6" hidden="false" customHeight="false" outlineLevel="0" collapsed="false">
      <c r="B104" s="1"/>
    </row>
    <row r="105" customFormat="false" ht="14.6" hidden="false" customHeight="false" outlineLevel="0" collapsed="false">
      <c r="B105" s="1"/>
    </row>
    <row r="106" customFormat="false" ht="14.6" hidden="false" customHeight="false" outlineLevel="0" collapsed="false">
      <c r="B106" s="1"/>
    </row>
    <row r="107" customFormat="false" ht="14.6" hidden="false" customHeight="false" outlineLevel="0" collapsed="false">
      <c r="B107" s="1"/>
    </row>
    <row r="108" customFormat="false" ht="14.6" hidden="false" customHeight="false" outlineLevel="0" collapsed="false">
      <c r="B108" s="1"/>
    </row>
    <row r="109" customFormat="false" ht="14.6" hidden="false" customHeight="false" outlineLevel="0" collapsed="false">
      <c r="B109" s="1"/>
    </row>
    <row r="110" customFormat="false" ht="14.6" hidden="false" customHeight="false" outlineLevel="0" collapsed="false">
      <c r="B110" s="1"/>
    </row>
    <row r="111" customFormat="false" ht="14.6" hidden="false" customHeight="false" outlineLevel="0" collapsed="false">
      <c r="B111" s="1"/>
    </row>
    <row r="112" customFormat="false" ht="14.6" hidden="false" customHeight="false" outlineLevel="0" collapsed="false">
      <c r="B112" s="1"/>
    </row>
    <row r="113" customFormat="false" ht="14.6" hidden="false" customHeight="false" outlineLevel="0" collapsed="false">
      <c r="B113" s="1"/>
    </row>
    <row r="114" customFormat="false" ht="14.6" hidden="false" customHeight="false" outlineLevel="0" collapsed="false">
      <c r="B114" s="1"/>
    </row>
    <row r="115" customFormat="false" ht="14.6" hidden="false" customHeight="false" outlineLevel="0" collapsed="false">
      <c r="B115" s="1"/>
    </row>
    <row r="116" customFormat="false" ht="14.6" hidden="false" customHeight="false" outlineLevel="0" collapsed="false">
      <c r="B116" s="1"/>
    </row>
    <row r="117" customFormat="false" ht="14.6" hidden="false" customHeight="false" outlineLevel="0" collapsed="false">
      <c r="B117" s="1"/>
    </row>
    <row r="118" customFormat="false" ht="14.6" hidden="false" customHeight="false" outlineLevel="0" collapsed="false">
      <c r="B118" s="1"/>
    </row>
    <row r="119" customFormat="false" ht="14.6" hidden="false" customHeight="false" outlineLevel="0" collapsed="false">
      <c r="B119" s="1"/>
    </row>
    <row r="120" customFormat="false" ht="14.6" hidden="false" customHeight="false" outlineLevel="0" collapsed="false">
      <c r="B120" s="1"/>
    </row>
    <row r="121" customFormat="false" ht="13.8" hidden="false" customHeight="false" outlineLevel="0" collapsed="false">
      <c r="B121" s="1"/>
    </row>
    <row r="122" customFormat="false" ht="13.8" hidden="false" customHeight="false" outlineLevel="0" collapsed="false">
      <c r="B122" s="1"/>
    </row>
    <row r="123" customFormat="false" ht="14.6" hidden="false" customHeight="false" outlineLevel="0" collapsed="false">
      <c r="B123" s="1"/>
    </row>
    <row r="124" customFormat="false" ht="14.6" hidden="false" customHeight="false" outlineLevel="0" collapsed="false">
      <c r="B124" s="1"/>
    </row>
    <row r="125" customFormat="false" ht="14.6" hidden="false" customHeight="false" outlineLevel="0" collapsed="false">
      <c r="B125" s="1"/>
    </row>
    <row r="126" customFormat="false" ht="14.6" hidden="false" customHeight="false" outlineLevel="0" collapsed="false">
      <c r="B126" s="1"/>
    </row>
    <row r="127" customFormat="false" ht="14.6" hidden="false" customHeight="false" outlineLevel="0" collapsed="false">
      <c r="B127" s="1"/>
    </row>
    <row r="128" customFormat="false" ht="14.6" hidden="false" customHeight="false" outlineLevel="0" collapsed="false">
      <c r="B128" s="1"/>
    </row>
    <row r="129" customFormat="false" ht="14.6" hidden="false" customHeight="false" outlineLevel="0" collapsed="false">
      <c r="B129" s="1"/>
    </row>
    <row r="130" customFormat="false" ht="14.6" hidden="false" customHeight="false" outlineLevel="0" collapsed="false">
      <c r="B130" s="1"/>
    </row>
    <row r="131" customFormat="false" ht="14.6" hidden="false" customHeight="false" outlineLevel="0" collapsed="false">
      <c r="B131" s="1"/>
    </row>
    <row r="132" customFormat="false" ht="14.6" hidden="false" customHeight="false" outlineLevel="0" collapsed="false">
      <c r="B132" s="1"/>
    </row>
    <row r="133" customFormat="false" ht="14.6" hidden="false" customHeight="false" outlineLevel="0" collapsed="false">
      <c r="B133" s="1"/>
    </row>
    <row r="134" customFormat="false" ht="14.6" hidden="false" customHeight="false" outlineLevel="0" collapsed="false">
      <c r="B134" s="1"/>
    </row>
    <row r="135" customFormat="false" ht="14.6" hidden="false" customHeight="false" outlineLevel="0" collapsed="false">
      <c r="B135" s="1"/>
    </row>
    <row r="136" customFormat="false" ht="8.15" hidden="false" customHeight="true" outlineLevel="0" collapsed="false">
      <c r="B136" s="1"/>
    </row>
    <row r="137" customFormat="false" ht="7" hidden="false" customHeight="true" outlineLevel="0" collapsed="false">
      <c r="B137" s="1"/>
    </row>
    <row r="138" customFormat="false" ht="7" hidden="false" customHeight="true" outlineLevel="0" collapsed="false">
      <c r="B138" s="1"/>
    </row>
    <row r="139" customFormat="false" ht="7" hidden="false" customHeight="true" outlineLevel="0" collapsed="false">
      <c r="B139" s="1"/>
    </row>
    <row r="140" customFormat="false" ht="7" hidden="false" customHeight="true" outlineLevel="0" collapsed="false">
      <c r="B140" s="1"/>
    </row>
    <row r="141" customFormat="false" ht="7" hidden="false" customHeight="true" outlineLevel="0" collapsed="false">
      <c r="B141" s="1"/>
    </row>
    <row r="142" customFormat="false" ht="7" hidden="false" customHeight="true" outlineLevel="0" collapsed="false">
      <c r="B142" s="1"/>
    </row>
    <row r="143" customFormat="false" ht="7" hidden="false" customHeight="true" outlineLevel="0" collapsed="false">
      <c r="B143" s="1"/>
    </row>
    <row r="144" customFormat="false" ht="7" hidden="false" customHeight="true" outlineLevel="0" collapsed="false">
      <c r="B144" s="1"/>
    </row>
    <row r="145" customFormat="false" ht="7" hidden="false" customHeight="true" outlineLevel="0" collapsed="false">
      <c r="B145" s="1"/>
    </row>
    <row r="146" customFormat="false" ht="7" hidden="false" customHeight="true" outlineLevel="0" collapsed="false">
      <c r="B146" s="1"/>
    </row>
    <row r="147" customFormat="false" ht="7" hidden="false" customHeight="true" outlineLevel="0" collapsed="false">
      <c r="B147" s="1"/>
    </row>
    <row r="148" customFormat="false" ht="7" hidden="false" customHeight="true" outlineLevel="0" collapsed="false">
      <c r="B148" s="1"/>
    </row>
    <row r="149" customFormat="false" ht="7" hidden="false" customHeight="true" outlineLevel="0" collapsed="false">
      <c r="B149" s="1"/>
    </row>
    <row r="150" customFormat="false" ht="7" hidden="false" customHeight="true" outlineLevel="0" collapsed="false">
      <c r="B150" s="1"/>
    </row>
    <row r="151" customFormat="false" ht="7" hidden="false" customHeight="true" outlineLevel="0" collapsed="false">
      <c r="B151" s="1"/>
    </row>
    <row r="152" customFormat="false" ht="7" hidden="false" customHeight="true" outlineLevel="0" collapsed="false">
      <c r="B152" s="1"/>
    </row>
    <row r="153" customFormat="false" ht="7" hidden="false" customHeight="true" outlineLevel="0" collapsed="false">
      <c r="B153" s="1"/>
    </row>
    <row r="154" customFormat="false" ht="7" hidden="false" customHeight="true" outlineLevel="0" collapsed="false">
      <c r="B154" s="1"/>
    </row>
    <row r="155" customFormat="false" ht="7" hidden="false" customHeight="true" outlineLevel="0" collapsed="false">
      <c r="B155" s="1"/>
    </row>
    <row r="156" customFormat="false" ht="7" hidden="false" customHeight="true" outlineLevel="0" collapsed="false">
      <c r="B156" s="1"/>
    </row>
    <row r="157" customFormat="false" ht="7" hidden="false" customHeight="true" outlineLevel="0" collapsed="false">
      <c r="B157" s="1"/>
    </row>
    <row r="158" customFormat="false" ht="7" hidden="false" customHeight="true" outlineLevel="0" collapsed="false">
      <c r="B158" s="1"/>
    </row>
    <row r="159" customFormat="false" ht="7" hidden="false" customHeight="true" outlineLevel="0" collapsed="false">
      <c r="B159" s="1"/>
    </row>
    <row r="160" customFormat="false" ht="7" hidden="false" customHeight="true" outlineLevel="0" collapsed="false">
      <c r="B160" s="1"/>
    </row>
    <row r="161" customFormat="false" ht="7" hidden="false" customHeight="true" outlineLevel="0" collapsed="false">
      <c r="B161" s="1"/>
    </row>
    <row r="162" customFormat="false" ht="7" hidden="false" customHeight="true" outlineLevel="0" collapsed="false">
      <c r="B162" s="1"/>
    </row>
    <row r="163" customFormat="false" ht="7" hidden="false" customHeight="true" outlineLevel="0" collapsed="false">
      <c r="B163" s="1"/>
    </row>
    <row r="164" customFormat="false" ht="7" hidden="false" customHeight="true" outlineLevel="0" collapsed="false">
      <c r="B164" s="1"/>
    </row>
    <row r="165" customFormat="false" ht="7" hidden="false" customHeight="true" outlineLevel="0" collapsed="false">
      <c r="B165" s="1"/>
    </row>
    <row r="166" customFormat="false" ht="7" hidden="false" customHeight="true" outlineLevel="0" collapsed="false">
      <c r="B166" s="1"/>
    </row>
    <row r="167" customFormat="false" ht="7" hidden="false" customHeight="true" outlineLevel="0" collapsed="false">
      <c r="B167" s="1"/>
    </row>
    <row r="168" customFormat="false" ht="7" hidden="false" customHeight="true" outlineLevel="0" collapsed="false">
      <c r="B168" s="1"/>
    </row>
    <row r="169" customFormat="false" ht="14.6" hidden="false" customHeight="false" outlineLevel="0" collapsed="false">
      <c r="B169" s="1"/>
    </row>
    <row r="170" customFormat="false" ht="14.6" hidden="false" customHeight="false" outlineLevel="0" collapsed="false">
      <c r="B170" s="1"/>
    </row>
  </sheetData>
  <mergeCells count="2">
    <mergeCell ref="B4:L4"/>
    <mergeCell ref="M4:N4"/>
  </mergeCell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BUDAABQSwMEFAACAAgAB4dtWsPFSMKlAAAA9gAAABIAHABDb25maWcvUGFja2FnZS54bWwgohgAKKAUAAAAAAAAAAAAAAAAAAAAAAAAAAAAhY9BDoIwFESvQrqnLYiJIZ+S6FYSo4lx25QKDVAILZa7ufBIXkGMou5czpu3mLlfb5COTe1dZG9UqxMUYIo8qUWbK10kaLBnf4VSBjsuKl5Ib5K1iUeTJ6i0tosJcc5ht8BtX5CQ0oCcsu1BlLLh6COr/7KvtLFcC4kYHF9jWIiDiOKILjEFMkPIlP4K4bT32f5A2Ay1HXrJOuuv90DmCOT9gT0AUEsDBBQAAgAIAAeHbVo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AHh21aKIpHuA4AAAARAAAAEwAcAEZvcm11bGFzL1NlY3Rpb24xLm0gohgAKKAUAAAAAAAAAAAAAAAAAAAAAAAAAAAAK05NLsnMz1MIhtCG1gBQSwECLQAUAAIACAAHh21aw8VIwqUAAAD2AAAAEgAAAAAAAAAAAAAAAAAAAAAAQ29uZmlnL1BhY2thZ2UueG1sUEsBAi0AFAACAAgAB4dtWg/K6aukAAAA6QAAABMAAAAAAAAAAAAAAAAA8QAAAFtDb250ZW50X1R5cGVzXS54bWxQSwECLQAUAAIACAAHh21aKIpHuA4AAAARAAAAEwAAAAAAAAAAAAAAAADiAQAARm9ybXVsYXMvU2VjdGlvbjEubVBLBQYAAAAAAwADAMIAAAA9Ag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XAQAAAAAAAHUB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wvSXRlbXM+PC9Mb2NhbFBhY2thZ2VNZXRhZGF0YUZpbGU+FgAAAFBLBQYAAAAAAAAAAAAAAAAAAAAAAADaAAAAAQAAANCMnd8BFdERjHoAwE/Cl+sBAAAALQywvhTqNESh9Ti0+LWbTwAAAAACAAAAAAADZgAAwAAAABAAAABe5uQsyp2iOTmoWzbZ37ahAAAAAASAAACgAAAAEAAAAJ3plVOG5cg0IndY2L5ux+hQAAAAXps9UOGpxOefawrh4WHWdedgMcR9lgsy3qyYi6sTHrZEBnrK30Vmm/BEmpbaD6z7rvPLqmx8sTMhENzJV9z1SZjYWo2FL8COIWVcl2FBZOgUAAAAty5HUQ9cb/EyynZWd5dMBauRbsM=</DataMashup>
</file>

<file path=customXml/itemProps1.xml><?xml version="1.0" encoding="utf-8"?>
<ds:datastoreItem xmlns:ds="http://schemas.openxmlformats.org/officeDocument/2006/customXml" ds:itemID="{3B5BA360-9701-461A-93F7-4561F98714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2025-01-14T20:20:50Z</dcterms:created>
  <dc:creator>Regimar.Campos</dc:creator>
  <dc:description/>
  <dc:language>en-US</dc:language>
  <cp:lastModifiedBy/>
  <dcterms:modified xsi:type="dcterms:W3CDTF">2026-07-27T07:39:37Z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